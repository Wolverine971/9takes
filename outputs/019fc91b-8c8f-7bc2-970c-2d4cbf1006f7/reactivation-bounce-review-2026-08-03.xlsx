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bda5ff9b3544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9f3a44a3999846a3"/>
    <x:sheet xmlns:r="http://schemas.openxmlformats.org/officeDocument/2006/relationships" name="Bounce Review" sheetId="2" r:id="Rc3c454664e5049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 hh:mm"/>
  </x:numFmts>
  <x:fonts count="20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2D1B69"/>
      <x:name val="Carlito"/>
    </x:font>
    <x:font>
      <x:b/>
      <x:sz val="14"/>
      <x:color rgb="FF2D1B69"/>
      <x:name val="Carlito"/>
    </x:font>
    <x:font>
      <x:b/>
      <x:sz val="11"/>
      <x:color rgb="FF2A1A00"/>
      <x:name val="Carlito"/>
    </x:font>
    <x:font>
      <x:sz val="11"/>
      <x:color rgb="FF3C2B00"/>
      <x:name val="Carlito"/>
    </x:font>
    <x:font>
      <x:b/>
      <x:sz val="11"/>
      <x:name val="Carlito"/>
    </x:font>
    <x:font>
      <x:b/>
      <x:sz val="18"/>
      <x:color rgb="FFFFFFFF"/>
      <x:name val="Aptos"/>
    </x:font>
    <x:font>
      <x:sz val="11"/>
      <x:name val="Aptos"/>
    </x:font>
    <x:font>
      <x:b/>
      <x:sz val="11"/>
      <x:color rgb="FFFFFFFF"/>
      <x:name val="Aptos"/>
    </x:font>
    <x:font>
      <x:b/>
      <x:sz val="11"/>
      <x:color rgb="FF2A1A00"/>
      <x:name val="Aptos"/>
    </x:font>
    <x:font>
      <x:b/>
      <x:sz val="11"/>
      <x:color rgb="FF2D1B69"/>
      <x:name val="Aptos"/>
    </x:font>
    <x:font>
      <x:b/>
      <x:sz val="14"/>
      <x:color rgb="FF2D1B69"/>
      <x:name val="Aptos"/>
    </x:font>
    <x:font>
      <x:sz val="11"/>
      <x:color rgb="FF3C2B00"/>
      <x:name val="Aptos"/>
    </x:font>
    <x:font>
      <x:b/>
      <x:sz val="11"/>
      <x:name val="Aptos"/>
    </x:font>
    <x:font>
      <x:b/>
      <x:sz val="16"/>
      <x:color rgb="FFFFFFFF"/>
      <x:name val="Carlito"/>
    </x:font>
    <x:font>
      <x:sz val="11"/>
      <x:color rgb="FF2D1B69"/>
      <x:name val="Carlito"/>
    </x:font>
    <x:font>
      <x:b/>
      <x:sz val="16"/>
      <x:color rgb="FFFFFFFF"/>
      <x:name val="Aptos"/>
    </x:font>
    <x:font>
      <x:sz val="11"/>
      <x:color rgb="FF2D1B69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2D1B69"/>
      </x:patternFill>
    </x:fill>
    <x:fill>
      <x:patternFill patternType="solid">
        <x:fgColor rgb="FF6D4AFF"/>
      </x:patternFill>
    </x:fill>
    <x:fill>
      <x:patternFill patternType="solid">
        <x:fgColor rgb="FFF2EEFF"/>
      </x:patternFill>
    </x:fill>
    <x:fill>
      <x:patternFill patternType="solid">
        <x:fgColor rgb="FFF4B400"/>
      </x:patternFill>
    </x:fill>
    <x:fill>
      <x:patternFill patternType="solid">
        <x:fgColor rgb="FFFFF7DD"/>
      </x:patternFill>
    </x:fill>
    <x:fill>
      <x:patternFill patternType="solid">
        <x:fgColor rgb="FFE9E3FF"/>
      </x:patternFill>
    </x:fill>
  </x:fills>
  <x:borders count="14">
    <x:border/>
    <x:border>
      <x:left style="thin">
        <x:color rgb="FFD8D0F0"/>
      </x:left>
      <x:right style="thin">
        <x:color rgb="FFD8D0F0"/>
      </x:right>
      <x:top style="thin">
        <x:color rgb="FFD8D0F0"/>
      </x:top>
      <x:bottom style="thin">
        <x:color rgb="FFD8D0F0"/>
      </x:bottom>
    </x:border>
    <x:border>
      <x:left style="thin">
        <x:color rgb="FFE4C35A"/>
      </x:left>
      <x:top style="thin">
        <x:color rgb="FFE4C35A"/>
      </x:top>
    </x:border>
    <x:border>
      <x:top style="thin">
        <x:color rgb="FFE4C35A"/>
      </x:top>
    </x:border>
    <x:border>
      <x:right style="thin">
        <x:color rgb="FFE4C35A"/>
      </x:right>
      <x:top style="thin">
        <x:color rgb="FFE4C35A"/>
      </x:top>
    </x:border>
    <x:border>
      <x:left style="thin">
        <x:color rgb="FFE4C35A"/>
      </x:left>
    </x:border>
    <x:border>
      <x:right style="thin">
        <x:color rgb="FFE4C35A"/>
      </x:right>
    </x:border>
    <x:border>
      <x:left style="thin">
        <x:color rgb="FFE4C35A"/>
      </x:left>
      <x:bottom style="thin">
        <x:color rgb="FFE4C35A"/>
      </x:bottom>
    </x:border>
    <x:border>
      <x:bottom style="thin">
        <x:color rgb="FFE4C35A"/>
      </x:bottom>
    </x:border>
    <x:border>
      <x:right style="thin">
        <x:color rgb="FFE4C35A"/>
      </x:right>
      <x:bottom style="thin">
        <x:color rgb="FFE4C35A"/>
      </x:bottom>
    </x:border>
    <x:border>
      <x:left style="thin">
        <x:color rgb="FFE5E0F2"/>
      </x:left>
      <x:right style="thin">
        <x:color rgb="FFE5E0F2"/>
      </x:right>
      <x:top style="thin">
        <x:color rgb="FFE5E0F2"/>
      </x:top>
      <x:bottom style="thin">
        <x:color rgb="FFE5E0F2"/>
      </x:bottom>
    </x:border>
    <x:border>
      <x:bottom style="thin">
        <x:color rgb="FFE5E0F2"/>
      </x:bottom>
    </x:border>
    <x:border>
      <x:top style="thin">
        <x:color rgb="FFE5E0F2"/>
      </x:top>
      <x:bottom style="thin">
        <x:color rgb="FFE5E0F2"/>
      </x:bottom>
    </x:border>
    <x:border>
      <x:top style="thin">
        <x:color rgb="FFE5E0F2"/>
      </x:top>
      <x:bottom style="thin">
        <x:color rgb="FFCBC1EA"/>
      </x:bottom>
    </x:border>
  </x:borders>
  <x:cellStyleXfs count="1">
    <x:xf numFmtId="0" fontId="0" fillId="0" borderId="0"/>
  </x:cellStyleXfs>
  <x:cellXfs count="10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0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200" fontId="4" fillId="4" borderId="0" xfId="0" applyNumberFormat="1" applyFont="1" applyFill="1" applyBorder="1"/>
    <x:xf numFmtId="0" fontId="2" fillId="3" borderId="1" xfId="0" applyNumberFormat="1" applyFont="1" applyFill="1" applyBorder="1"/>
    <x:xf numFmtId="0" fontId="3" fillId="0" borderId="1" xfId="0" applyNumberFormat="1" applyFont="1" applyFill="1" applyBorder="1"/>
    <x:xf numFmtId="200" fontId="4" fillId="4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2" xfId="0" applyNumberFormat="1" applyFont="1" applyFill="1" applyBorder="1"/>
    <x:xf numFmtId="0" fontId="6" fillId="6" borderId="3" xfId="0" applyNumberFormat="1" applyFont="1" applyFill="1" applyBorder="1"/>
    <x:xf numFmtId="0" fontId="6" fillId="6" borderId="4" xfId="0" applyNumberFormat="1" applyFont="1" applyFill="1" applyBorder="1"/>
    <x:xf numFmtId="0" fontId="6" fillId="6" borderId="5" xfId="0" applyNumberFormat="1" applyFont="1" applyFill="1" applyBorder="1"/>
    <x:xf numFmtId="0" fontId="6" fillId="6" borderId="6" xfId="0" applyNumberFormat="1" applyFont="1" applyFill="1" applyBorder="1"/>
    <x:xf numFmtId="0" fontId="6" fillId="6" borderId="7" xfId="0" applyNumberFormat="1" applyFont="1" applyFill="1" applyBorder="1"/>
    <x:xf numFmtId="0" fontId="6" fillId="6" borderId="8" xfId="0" applyNumberFormat="1" applyFont="1" applyFill="1" applyBorder="1"/>
    <x:xf numFmtId="0" fontId="6" fillId="6" borderId="9" xfId="0" applyNumberFormat="1" applyFont="1" applyFill="1" applyBorder="1"/>
    <x:xf numFmtId="0" fontId="6" fillId="6" borderId="2" xfId="0" applyNumberFormat="1" applyFont="1" applyFill="1" applyBorder="1" applyAlignment="1">
      <x:alignment wrapText="1"/>
    </x:xf>
    <x:xf numFmtId="0" fontId="6" fillId="6" borderId="3" xfId="0" applyNumberFormat="1" applyFont="1" applyFill="1" applyBorder="1" applyAlignment="1">
      <x:alignment wrapText="1"/>
    </x:xf>
    <x:xf numFmtId="0" fontId="6" fillId="6" borderId="4" xfId="0" applyNumberFormat="1" applyFont="1" applyFill="1" applyBorder="1" applyAlignment="1">
      <x:alignment wrapText="1"/>
    </x:xf>
    <x:xf numFmtId="0" fontId="6" fillId="6" borderId="5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6" fillId="6" borderId="6" xfId="0" applyNumberFormat="1" applyFont="1" applyFill="1" applyBorder="1" applyAlignment="1">
      <x:alignment wrapText="1"/>
    </x:xf>
    <x:xf numFmtId="0" fontId="6" fillId="6" borderId="7" xfId="0" applyNumberFormat="1" applyFont="1" applyFill="1" applyBorder="1" applyAlignment="1">
      <x:alignment wrapText="1"/>
    </x:xf>
    <x:xf numFmtId="0" fontId="6" fillId="6" borderId="8" xfId="0" applyNumberFormat="1" applyFont="1" applyFill="1" applyBorder="1" applyAlignment="1">
      <x:alignment wrapText="1"/>
    </x:xf>
    <x:xf numFmtId="0" fontId="6" fillId="6" borderId="9" xfId="0" applyNumberFormat="1" applyFont="1" applyFill="1" applyBorder="1" applyAlignment="1">
      <x:alignment wrapText="1"/>
    </x:xf>
    <x:xf numFmtId="0" fontId="6" fillId="6" borderId="2" xfId="0" applyNumberFormat="1" applyFont="1" applyFill="1" applyBorder="1" applyAlignment="1">
      <x:alignment vertical="top" wrapText="1"/>
    </x:xf>
    <x:xf numFmtId="0" fontId="6" fillId="6" borderId="3" xfId="0" applyNumberFormat="1" applyFont="1" applyFill="1" applyBorder="1" applyAlignment="1">
      <x:alignment vertical="top" wrapText="1"/>
    </x:xf>
    <x:xf numFmtId="0" fontId="6" fillId="6" borderId="4" xfId="0" applyNumberFormat="1" applyFont="1" applyFill="1" applyBorder="1" applyAlignment="1">
      <x:alignment vertical="top" wrapText="1"/>
    </x:xf>
    <x:xf numFmtId="0" fontId="6" fillId="6" borderId="5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top" wrapText="1"/>
    </x:xf>
    <x:xf numFmtId="0" fontId="6" fillId="6" borderId="6" xfId="0" applyNumberFormat="1" applyFont="1" applyFill="1" applyBorder="1" applyAlignment="1">
      <x:alignment vertical="top" wrapText="1"/>
    </x:xf>
    <x:xf numFmtId="0" fontId="6" fillId="6" borderId="7" xfId="0" applyNumberFormat="1" applyFont="1" applyFill="1" applyBorder="1" applyAlignment="1">
      <x:alignment vertical="top" wrapText="1"/>
    </x:xf>
    <x:xf numFmtId="0" fontId="6" fillId="6" borderId="8" xfId="0" applyNumberFormat="1" applyFont="1" applyFill="1" applyBorder="1" applyAlignment="1">
      <x:alignment vertical="top" wrapText="1"/>
    </x:xf>
    <x:xf numFmtId="0" fontId="6" fillId="6" borderId="9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7" fillId="0" borderId="0" xfId="0" applyNumberFormat="1" applyFont="1" applyFill="1" applyBorder="1"/>
    <x:xf numFmtId="0" fontId="2" fillId="2" borderId="10" xfId="0" applyNumberFormat="1" applyFont="1" applyFill="1" applyBorder="1"/>
    <x:xf numFmtId="0" fontId="7" fillId="0" borderId="10" xfId="0" applyNumberFormat="1" applyFont="1" applyFill="1" applyBorder="1"/>
    <x:xf numFmtId="0" fontId="0" fillId="0" borderId="10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7" fillId="0" borderId="10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10" fillId="3" borderId="1" xfId="0" applyNumberFormat="1" applyFont="1" applyFill="1" applyBorder="1"/>
    <x:xf numFmtId="0" fontId="11" fillId="5" borderId="0" xfId="0" applyNumberFormat="1" applyFont="1" applyFill="1" applyBorder="1"/>
    <x:xf numFmtId="0" fontId="12" fillId="0" borderId="1" xfId="0" applyNumberFormat="1" applyFont="1" applyFill="1" applyBorder="1"/>
    <x:xf numFmtId="200" fontId="13" fillId="4" borderId="1" xfId="0" applyNumberFormat="1" applyFont="1" applyFill="1" applyBorder="1"/>
    <x:xf numFmtId="0" fontId="14" fillId="6" borderId="2" xfId="0" applyNumberFormat="1" applyFont="1" applyFill="1" applyBorder="1" applyAlignment="1">
      <x:alignment vertical="top" wrapText="1"/>
    </x:xf>
    <x:xf numFmtId="0" fontId="14" fillId="6" borderId="3" xfId="0" applyNumberFormat="1" applyFont="1" applyFill="1" applyBorder="1" applyAlignment="1">
      <x:alignment vertical="top" wrapText="1"/>
    </x:xf>
    <x:xf numFmtId="0" fontId="14" fillId="6" borderId="4" xfId="0" applyNumberFormat="1" applyFont="1" applyFill="1" applyBorder="1" applyAlignment="1">
      <x:alignment vertical="top" wrapText="1"/>
    </x:xf>
    <x:xf numFmtId="0" fontId="14" fillId="6" borderId="5" xfId="0" applyNumberFormat="1" applyFont="1" applyFill="1" applyBorder="1" applyAlignment="1">
      <x:alignment vertical="top" wrapText="1"/>
    </x:xf>
    <x:xf numFmtId="0" fontId="14" fillId="6" borderId="0" xfId="0" applyNumberFormat="1" applyFont="1" applyFill="1" applyBorder="1" applyAlignment="1">
      <x:alignment vertical="top" wrapText="1"/>
    </x:xf>
    <x:xf numFmtId="0" fontId="14" fillId="6" borderId="6" xfId="0" applyNumberFormat="1" applyFont="1" applyFill="1" applyBorder="1" applyAlignment="1">
      <x:alignment vertical="top" wrapText="1"/>
    </x:xf>
    <x:xf numFmtId="0" fontId="14" fillId="6" borderId="7" xfId="0" applyNumberFormat="1" applyFont="1" applyFill="1" applyBorder="1" applyAlignment="1">
      <x:alignment vertical="top" wrapText="1"/>
    </x:xf>
    <x:xf numFmtId="0" fontId="14" fillId="6" borderId="8" xfId="0" applyNumberFormat="1" applyFont="1" applyFill="1" applyBorder="1" applyAlignment="1">
      <x:alignment vertical="top" wrapText="1"/>
    </x:xf>
    <x:xf numFmtId="0" fontId="14" fillId="6" borderId="9" xfId="0" applyNumberFormat="1" applyFont="1" applyFill="1" applyBorder="1" applyAlignment="1">
      <x:alignment vertical="top" wrapText="1"/>
    </x:xf>
    <x:xf numFmtId="0" fontId="10" fillId="2" borderId="10" xfId="0" applyNumberFormat="1" applyFont="1" applyFill="1" applyBorder="1"/>
    <x:xf numFmtId="0" fontId="15" fillId="0" borderId="10" xfId="0" applyNumberFormat="1" applyFont="1" applyFill="1" applyBorder="1"/>
    <x:xf numFmtId="0" fontId="9" fillId="0" borderId="10" xfId="0" applyNumberFormat="1" applyFont="1" applyFill="1" applyBorder="1"/>
    <x:xf numFmtId="0" fontId="12" fillId="7" borderId="0" xfId="0" applyNumberFormat="1" applyFont="1" applyFill="1" applyBorder="1"/>
    <x:xf numFmtId="0" fontId="15" fillId="0" borderId="10" xfId="0" applyNumberFormat="1" applyFont="1" applyFill="1" applyBorder="1" applyAlignment="1">
      <x:alignment wrapText="1"/>
    </x:xf>
    <x:xf numFmtId="0" fontId="9" fillId="0" borderId="10" xfId="0" applyNumberFormat="1" applyFont="1" applyFill="1" applyBorder="1" applyAlignment="1">
      <x:alignment wrapText="1"/>
    </x:xf>
    <x:xf numFmtId="0" fontId="16" fillId="2" borderId="0" xfId="0" applyNumberFormat="1" applyFont="1" applyFill="1" applyBorder="1"/>
    <x:xf numFmtId="0" fontId="17" fillId="4" borderId="0" xfId="0" applyNumberFormat="1" applyFont="1" applyFill="1" applyBorder="1"/>
    <x:xf numFmtId="0" fontId="17" fillId="4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201" fontId="0" fillId="0" borderId="11" xfId="0" applyNumberFormat="1" applyFont="1" applyFill="1" applyBorder="1"/>
    <x:xf numFmtId="201" fontId="0" fillId="0" borderId="12" xfId="0" applyNumberFormat="1" applyFont="1" applyFill="1" applyBorder="1"/>
    <x:xf numFmtId="201" fontId="0" fillId="0" borderId="13" xfId="0" applyNumberFormat="1" applyFont="1" applyFill="1" applyBorder="1"/>
    <x:xf numFmtId="200" fontId="0" fillId="0" borderId="11" xfId="0" applyNumberFormat="1" applyFont="1" applyFill="1" applyBorder="1"/>
    <x:xf numFmtId="200" fontId="0" fillId="0" borderId="12" xfId="0" applyNumberFormat="1" applyFont="1" applyFill="1" applyBorder="1"/>
    <x:xf numFmtId="20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201" fontId="0" fillId="0" borderId="11" xfId="0" applyNumberFormat="1" applyFont="1" applyFill="1" applyBorder="1" applyAlignment="1">
      <x:alignment wrapText="1"/>
    </x:xf>
    <x:xf numFmtId="20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201" fontId="0" fillId="0" borderId="12" xfId="0" applyNumberFormat="1" applyFont="1" applyFill="1" applyBorder="1" applyAlignment="1">
      <x:alignment wrapText="1"/>
    </x:xf>
    <x:xf numFmtId="20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201" fontId="0" fillId="0" borderId="13" xfId="0" applyNumberFormat="1" applyFont="1" applyFill="1" applyBorder="1" applyAlignment="1">
      <x:alignment wrapText="1"/>
    </x:xf>
    <x:xf numFmtId="200" fontId="0" fillId="0" borderId="13" xfId="0" applyNumberFormat="1" applyFont="1" applyFill="1" applyBorder="1" applyAlignment="1">
      <x:alignment wrapText="1"/>
    </x:xf>
    <x:xf numFmtId="0" fontId="18" fillId="2" borderId="0" xfId="0" applyNumberFormat="1" applyFont="1" applyFill="1" applyBorder="1"/>
    <x:xf numFmtId="0" fontId="19" fillId="4" borderId="0" xfId="0" applyNumberFormat="1" applyFont="1" applyFill="1" applyBorder="1" applyAlignment="1">
      <x:alignment wrapText="1"/>
    </x:xf>
    <x:xf numFmtId="0" fontId="10" fillId="3" borderId="0" xfId="0" applyNumberFormat="1" applyFont="1" applyFill="1" applyBorder="1" applyAlignment="1">
      <x:alignment vertical="center" wrapText="1"/>
    </x:xf>
    <x:xf numFmtId="0" fontId="9" fillId="0" borderId="11" xfId="0" applyNumberFormat="1" applyFont="1" applyFill="1" applyBorder="1" applyAlignment="1">
      <x:alignment wrapText="1"/>
    </x:xf>
    <x:xf numFmtId="201" fontId="9" fillId="0" borderId="11" xfId="0" applyNumberFormat="1" applyFont="1" applyFill="1" applyBorder="1" applyAlignment="1">
      <x:alignment wrapText="1"/>
    </x:xf>
    <x:xf numFmtId="200" fontId="9" fillId="0" borderId="11" xfId="0" applyNumberFormat="1" applyFont="1" applyFill="1" applyBorder="1" applyAlignment="1">
      <x:alignment wrapText="1"/>
    </x:xf>
    <x:xf numFmtId="0" fontId="9" fillId="0" borderId="12" xfId="0" applyNumberFormat="1" applyFont="1" applyFill="1" applyBorder="1" applyAlignment="1">
      <x:alignment wrapText="1"/>
    </x:xf>
    <x:xf numFmtId="201" fontId="9" fillId="0" borderId="12" xfId="0" applyNumberFormat="1" applyFont="1" applyFill="1" applyBorder="1" applyAlignment="1">
      <x:alignment wrapText="1"/>
    </x:xf>
    <x:xf numFmtId="200" fontId="9" fillId="0" borderId="12" xfId="0" applyNumberFormat="1" applyFont="1" applyFill="1" applyBorder="1" applyAlignment="1">
      <x:alignment wrapText="1"/>
    </x:xf>
    <x:xf numFmtId="0" fontId="9" fillId="0" borderId="13" xfId="0" applyNumberFormat="1" applyFont="1" applyFill="1" applyBorder="1" applyAlignment="1">
      <x:alignment wrapText="1"/>
    </x:xf>
    <x:xf numFmtId="201" fontId="9" fillId="0" borderId="13" xfId="0" applyNumberFormat="1" applyFont="1" applyFill="1" applyBorder="1" applyAlignment="1">
      <x:alignment wrapText="1"/>
    </x:xf>
    <x:xf numFmtId="200" fontId="9" fillId="0" borderId="13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A61B1B"/>
      </x:font>
      <x:fill>
        <x:patternFill patternType="solid">
          <x:bgColor rgb="FFFDE8E7"/>
        </x:patternFill>
      </x:fill>
    </x:dxf>
    <x:dxf>
      <x:font>
        <x:b/>
        <x:color rgb="FF8A5A00"/>
      </x:font>
      <x:fill>
        <x:patternFill patternType="solid">
          <x:bgColor rgb="FFFFF4D6"/>
        </x:patternFill>
      </x:fill>
    </x:dxf>
    <x:dxf>
      <x:font>
        <x:color rgb="FF8A5A00"/>
      </x:font>
      <x:fill>
        <x:patternFill patternType="solid">
          <x:bgColor rgb="FFFFF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63e46b6c714dfd" /><Relationship Type="http://schemas.openxmlformats.org/officeDocument/2006/relationships/theme" Target="/xl/theme/theme1.xml" Id="R8d8757a93cb84374" /><Relationship Type="http://schemas.openxmlformats.org/officeDocument/2006/relationships/sharedStrings" Target="/xl/sharedStrings.xml" Id="Rb9c45a2ee13d4de8" /><Relationship Type="http://schemas.openxmlformats.org/officeDocument/2006/relationships/worksheet" Target="/xl/worksheets/sheet1.xml" Id="R9f3a44a3999846a3" /><Relationship Type="http://schemas.openxmlformats.org/officeDocument/2006/relationships/worksheet" Target="/xl/worksheets/sheet2.xml" Id="Rc3c454664e5049e7" /></Relationships>
</file>

<file path=xl/tables/table1.xml><?xml version="1.0" encoding="utf-8"?>
<x:table xmlns:x="http://schemas.openxmlformats.org/spreadsheetml/2006/main" id="1" name="BounceReviewTable" displayName="BounceReviewTable" ref="A3:J11" headerRowCount="1" totalsRowCount="0" totalsRowShown="0">
  <x:tableColumns count="10">
    <x:tableColumn id="1" name="Email"/>
    <x:tableColumn id="2" name="Classification"/>
    <x:tableColumn id="3" name="Failure type"/>
    <x:tableColumn id="4" name="First notice"/>
    <x:tableColumn id="5" name="Latest notice"/>
    <x:tableColumn id="6" name="Hard-failure notices"/>
    <x:tableColumn id="7" name="Sequence"/>
    <x:tableColumn id="8" name="Enrollment"/>
    <x:tableColumn id="9" name="Recommended action"/>
    <x:tableColumn id="10" name="Production updat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419c2a3e79f44b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889999389648438" hidden="0" customWidth="1"/>
    <x:col min="2" max="2" width="26.670000076293945" hidden="0" customWidth="1"/>
    <x:col min="3" max="3" width="2.6700000762939453" hidden="0" customWidth="1"/>
    <x:col min="4" max="4" width="12.779999732971191" hidden="0" customWidth="1"/>
    <x:col min="5" max="5" width="12.779999732971191" hidden="0" customWidth="1"/>
    <x:col min="6" max="6" width="12.779999732971191" hidden="0" customWidth="1"/>
    <x:col min="7" max="7" width="12.779999732971191" hidden="0" customWidth="1"/>
    <x:col min="8" max="8" width="12.779999732971191" hidden="0" customWidth="1"/>
  </x:cols>
  <x:sheetData>
    <x:row r="1" ht="31.5" customHeight="1">
      <x:c r="A1" s="52" t="str">
        <x:v>9takes Reactivation Bounce Review</x:v>
      </x:c>
      <x:c r="B1" s="52"/>
      <x:c r="C1" s="52"/>
      <x:c r="D1" s="52"/>
      <x:c r="E1" s="52"/>
      <x:c r="F1" s="52"/>
      <x:c r="G1" s="52"/>
      <x:c r="H1" s="52"/>
    </x:row>
    <x:row r="2">
      <x:c r="A2" s="53"/>
      <x:c r="B2" s="53"/>
      <x:c r="C2" s="53"/>
      <x:c r="D2" s="53"/>
      <x:c r="E2" s="53"/>
      <x:c r="F2" s="53"/>
      <x:c r="G2" s="53"/>
      <x:c r="H2" s="53"/>
    </x:row>
    <x:row r="3">
      <x:c r="A3" s="54" t="str">
        <x:v>Metric</x:v>
      </x:c>
      <x:c r="B3" s="54" t="str">
        <x:v>Count</x:v>
      </x:c>
      <x:c r="C3" s="53"/>
      <x:c r="D3" s="55" t="str">
        <x:v>Recommended next step</x:v>
      </x:c>
      <x:c r="E3" s="55"/>
      <x:c r="F3" s="55"/>
      <x:c r="G3" s="55"/>
      <x:c r="H3" s="55"/>
    </x:row>
    <x:row r="4">
      <x:c r="A4" s="56" t="str">
        <x:v>Permanent failures</x:v>
      </x:c>
      <x:c r="B4" s="57" t="n">
        <x:f>COUNTIF('Bounce Review'!$B$4:$B$11,"Permanent")</x:f>
        <x:v>7</x:v>
      </x:c>
      <x:c r="C4" s="53"/>
      <x:c r="D4" s="58" t="str">
        <x:v>Suppress the seven permanent failures, exit their active reactivation enrollments, and mark the nine Gmail-evidenced sends as bounced. Keep the one temporary delay active until Gmail reports a final result.</x:v>
      </x:c>
      <x:c r="E4" s="59"/>
      <x:c r="F4" s="59"/>
      <x:c r="G4" s="59"/>
      <x:c r="H4" s="60"/>
    </x:row>
    <x:row r="5">
      <x:c r="A5" s="56" t="str">
        <x:v>Temporary delays</x:v>
      </x:c>
      <x:c r="B5" s="57" t="n">
        <x:f>COUNTIF('Bounce Review'!$B$4:$B$11,"Temporary")</x:f>
        <x:v>1</x:v>
      </x:c>
      <x:c r="C5" s="53"/>
      <x:c r="D5" s="61"/>
      <x:c r="E5" s="62"/>
      <x:c r="F5" s="62"/>
      <x:c r="G5" s="62"/>
      <x:c r="H5" s="63"/>
    </x:row>
    <x:row r="6">
      <x:c r="A6" s="56" t="str">
        <x:v>Production rows updated</x:v>
      </x:c>
      <x:c r="B6" s="57" t="n">
        <x:f>COUNTIF('Bounce Review'!$J$4:$J$11,"Yes")</x:f>
        <x:v>0</x:v>
      </x:c>
      <x:c r="C6" s="53"/>
      <x:c r="D6" s="64"/>
      <x:c r="E6" s="65"/>
      <x:c r="F6" s="65"/>
      <x:c r="G6" s="65"/>
      <x:c r="H6" s="66"/>
    </x:row>
    <x:row r="7">
      <x:c r="A7" s="53"/>
      <x:c r="B7" s="53"/>
      <x:c r="C7" s="53"/>
      <x:c r="D7" s="53"/>
      <x:c r="E7" s="53"/>
      <x:c r="F7" s="53"/>
      <x:c r="G7" s="53"/>
      <x:c r="H7" s="53"/>
    </x:row>
    <x:row r="8">
      <x:c r="A8" s="67" t="str">
        <x:v>Audit detail</x:v>
      </x:c>
      <x:c r="B8" s="67" t="str">
        <x:v>Value</x:v>
      </x:c>
      <x:c r="C8" s="53"/>
      <x:c r="D8" s="53"/>
      <x:c r="E8" s="53"/>
      <x:c r="F8" s="53"/>
      <x:c r="G8" s="53"/>
      <x:c r="H8" s="53"/>
    </x:row>
    <x:row r="9">
      <x:c r="A9" s="68" t="str">
        <x:v>Mailbox</x:v>
      </x:c>
      <x:c r="B9" s="69" t="str">
        <x:v>usersup@9takes.com</x:v>
      </x:c>
      <x:c r="C9" s="53"/>
      <x:c r="D9" s="53"/>
      <x:c r="E9" s="53"/>
      <x:c r="F9" s="53"/>
      <x:c r="G9" s="53"/>
      <x:c r="H9" s="53"/>
    </x:row>
    <x:row r="10">
      <x:c r="A10" s="68" t="str">
        <x:v>Search window</x:v>
      </x:c>
      <x:c r="B10" s="69" t="str">
        <x:v>2026-07-24 through 2026-08-03</x:v>
      </x:c>
      <x:c r="C10" s="53"/>
      <x:c r="D10" s="53"/>
      <x:c r="E10" s="53"/>
      <x:c r="F10" s="53"/>
      <x:c r="G10" s="53"/>
      <x:c r="H10" s="53"/>
    </x:row>
    <x:row r="11">
      <x:c r="A11" s="68" t="str">
        <x:v>Production state</x:v>
      </x:c>
      <x:c r="B11" s="69" t="str">
        <x:v>No changes applied; explicit approval required</x:v>
      </x:c>
      <x:c r="C11" s="53"/>
      <x:c r="D11" s="53"/>
      <x:c r="E11" s="53"/>
      <x:c r="F11" s="53"/>
      <x:c r="G11" s="53"/>
      <x:c r="H11" s="53"/>
    </x:row>
    <x:row r="12">
      <x:c r="A12" s="53"/>
      <x:c r="B12" s="53"/>
      <x:c r="C12" s="53"/>
      <x:c r="D12" s="53"/>
      <x:c r="E12" s="53"/>
      <x:c r="F12" s="53"/>
      <x:c r="G12" s="53"/>
      <x:c r="H12" s="53"/>
    </x:row>
    <x:row r="13">
      <x:c r="A13" s="70" t="str">
        <x:v>Gmail queries used</x:v>
      </x:c>
      <x:c r="B13" s="70"/>
      <x:c r="C13" s="70"/>
      <x:c r="D13" s="70"/>
      <x:c r="E13" s="70"/>
      <x:c r="F13" s="70"/>
      <x:c r="G13" s="70"/>
      <x:c r="H13" s="70"/>
    </x:row>
    <x:row r="14" ht="31.5" customHeight="1">
      <x:c r="A14" s="71" t="str">
        <x:v>Permanent failures</x:v>
      </x:c>
      <x:c r="B14" s="72" t="str">
        <x:v>after:2026/07/23 {"Address not found" "Message blocked" "Message not delivered" "couldn't be delivered"}</x:v>
      </x:c>
      <x:c r="C14" s="72"/>
      <x:c r="D14" s="72"/>
      <x:c r="E14" s="72"/>
      <x:c r="F14" s="72"/>
      <x:c r="G14" s="72"/>
      <x:c r="H14" s="72"/>
    </x:row>
    <x:row r="15" ht="31.5" customHeight="1">
      <x:c r="A15" s="71" t="str">
        <x:v>Temporary delays</x:v>
      </x:c>
      <x:c r="B15" s="72" t="str">
        <x:v>after:2026/07/23 "Delivery incomplete"</x:v>
      </x:c>
      <x:c r="C15" s="72"/>
      <x:c r="D15" s="72"/>
      <x:c r="E15" s="72"/>
      <x:c r="F15" s="72"/>
      <x:c r="G15" s="72"/>
      <x:c r="H15" s="72"/>
    </x:row>
  </x:sheetData>
  <x:mergeCells>
    <x:mergeCell ref="A1:H1"/>
    <x:mergeCell ref="D3:H3"/>
    <x:mergeCell ref="D4:H6"/>
    <x:mergeCell ref="B11:H11"/>
    <x:mergeCell ref="A13:H13"/>
    <x:mergeCell ref="B14:H14"/>
    <x:mergeCell ref="B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11.670000076293945" hidden="0" customWidth="1"/>
    <x:col min="3" max="3" width="24.440000534057617" hidden="0" customWidth="1"/>
    <x:col min="4" max="4" width="13.890000343322754" hidden="0" customWidth="1"/>
    <x:col min="5" max="5" width="13.890000343322754" hidden="0" customWidth="1"/>
    <x:col min="6" max="6" width="10.5600004196167" hidden="0" customWidth="1"/>
    <x:col min="7" max="7" width="16.110000610351562" hidden="0" customWidth="1"/>
    <x:col min="8" max="8" width="16.110000610351562" hidden="0" customWidth="1"/>
    <x:col min="9" max="9" width="18.329999923706055" hidden="0" customWidth="1"/>
    <x:col min="10" max="10" width="11.670000076293945" hidden="0" customWidth="1"/>
  </x:cols>
  <x:sheetData>
    <x:row r="1">
      <x:c r="A1" s="96" t="str">
        <x:v>Recipient-level bounce evidence</x:v>
      </x:c>
      <x:c r="B1" s="96"/>
      <x:c r="C1" s="96"/>
      <x:c r="D1" s="96"/>
      <x:c r="E1" s="96"/>
      <x:c r="F1" s="96"/>
      <x:c r="G1" s="96"/>
      <x:c r="H1" s="96"/>
      <x:c r="I1" s="96"/>
      <x:c r="J1" s="96"/>
    </x:row>
    <x:row r="2">
      <x:c r="A2" s="97" t="str">
        <x:v>Permanent = safe to suppress now. Temporary = Gmail is still retrying; do not suppress until a final failure arrives.</x:v>
      </x:c>
      <x:c r="B2" s="97"/>
      <x:c r="C2" s="97"/>
      <x:c r="D2" s="97"/>
      <x:c r="E2" s="97"/>
      <x:c r="F2" s="97"/>
      <x:c r="G2" s="97"/>
      <x:c r="H2" s="97"/>
      <x:c r="I2" s="97"/>
      <x:c r="J2" s="97"/>
    </x:row>
    <x:row r="3" ht="33" customHeight="1">
      <x:c r="A3" s="98" t="str">
        <x:v>Email</x:v>
      </x:c>
      <x:c r="B3" s="98" t="str">
        <x:v>Classification</x:v>
      </x:c>
      <x:c r="C3" s="98" t="str">
        <x:v>Failure type</x:v>
      </x:c>
      <x:c r="D3" s="98" t="str">
        <x:v>First notice</x:v>
      </x:c>
      <x:c r="E3" s="98" t="str">
        <x:v>Latest notice</x:v>
      </x:c>
      <x:c r="F3" s="98" t="str">
        <x:v>Hard-failure notices</x:v>
      </x:c>
      <x:c r="G3" s="98" t="str">
        <x:v>Sequence</x:v>
      </x:c>
      <x:c r="H3" s="98" t="str">
        <x:v>Enrollment</x:v>
      </x:c>
      <x:c r="I3" s="98" t="str">
        <x:v>Recommended action</x:v>
      </x:c>
      <x:c r="J3" s="98" t="str">
        <x:v>Production updated</x:v>
      </x:c>
    </x:row>
    <x:row r="4" ht="31.5" customHeight="1">
      <x:c r="A4" s="99" t="str">
        <x:v>ana.tejerina@icalmeria.es</x:v>
      </x:c>
      <x:c r="B4" s="99" t="str">
        <x:v>Permanent</x:v>
      </x:c>
      <x:c r="C4" s="99" t="str">
        <x:v>Recipient does not exist / domain rule blocked</x:v>
      </x:c>
      <x:c r="D4" s="100" t="n">
        <x:v>46232.760416666664</x:v>
      </x:c>
      <x:c r="E4" s="100" t="n">
        <x:v>46232.760416666664</x:v>
      </x:c>
      <x:c r="F4" s="101" t="n">
        <x:v>1</x:v>
      </x:c>
      <x:c r="G4" s="99" t="str">
        <x:v>reactivation_dormant</x:v>
      </x:c>
      <x:c r="H4" s="99" t="str">
        <x:v>Active — step 2 of 5</x:v>
      </x:c>
      <x:c r="I4" s="99" t="str">
        <x:v>Suppress + exit sequence</x:v>
      </x:c>
      <x:c r="J4" s="99" t="str">
        <x:v>No</x:v>
      </x:c>
    </x:row>
    <x:row r="5" ht="31.5" customHeight="1">
      <x:c r="A5" s="102" t="str">
        <x:v>claresaunders1234@aol.com</x:v>
      </x:c>
      <x:c r="B5" s="102" t="str">
        <x:v>Permanent</x:v>
      </x:c>
      <x:c r="C5" s="102" t="str">
        <x:v>Message blocked by recipient provider</x:v>
      </x:c>
      <x:c r="D5" s="103" t="n">
        <x:v>46236.927083333336</x:v>
      </x:c>
      <x:c r="E5" s="103" t="n">
        <x:v>46236.927083333336</x:v>
      </x:c>
      <x:c r="F5" s="104" t="n">
        <x:v>1</x:v>
      </x:c>
      <x:c r="G5" s="102" t="str">
        <x:v>reactivation_dormant</x:v>
      </x:c>
      <x:c r="H5" s="102" t="str">
        <x:v>Active — step 2 of 5</x:v>
      </x:c>
      <x:c r="I5" s="102" t="str">
        <x:v>Suppress + exit sequence</x:v>
      </x:c>
      <x:c r="J5" s="102" t="str">
        <x:v>No</x:v>
      </x:c>
    </x:row>
    <x:row r="6" ht="31.5" customHeight="1">
      <x:c r="A6" s="102" t="str">
        <x:v>debwilliams202@gmail.com</x:v>
      </x:c>
      <x:c r="B6" s="102" t="str">
        <x:v>Permanent</x:v>
      </x:c>
      <x:c r="C6" s="102" t="str">
        <x:v>Address not found</x:v>
      </x:c>
      <x:c r="D6" s="103" t="n">
        <x:v>46227.771527777775</x:v>
      </x:c>
      <x:c r="E6" s="103" t="n">
        <x:v>46232.78125</x:v>
      </x:c>
      <x:c r="F6" s="104" t="n">
        <x:v>2</x:v>
      </x:c>
      <x:c r="G6" s="102" t="str">
        <x:v>reactivation_dormant</x:v>
      </x:c>
      <x:c r="H6" s="102" t="str">
        <x:v>Active — step 2 of 5</x:v>
      </x:c>
      <x:c r="I6" s="102" t="str">
        <x:v>Suppress + exit sequence</x:v>
      </x:c>
      <x:c r="J6" s="102" t="str">
        <x:v>No</x:v>
      </x:c>
    </x:row>
    <x:row r="7" ht="31.5" customHeight="1">
      <x:c r="A7" s="102" t="str">
        <x:v>ladavo1339@funvane.com</x:v>
      </x:c>
      <x:c r="B7" s="102" t="str">
        <x:v>Permanent</x:v>
      </x:c>
      <x:c r="C7" s="102" t="str">
        <x:v>Message not delivered after retry window</x:v>
      </x:c>
      <x:c r="D7" s="103" t="n">
        <x:v>46235.739583333336</x:v>
      </x:c>
      <x:c r="E7" s="103" t="n">
        <x:v>46237.76944444444</x:v>
      </x:c>
      <x:c r="F7" s="104" t="n">
        <x:v>1</x:v>
      </x:c>
      <x:c r="G7" s="102" t="str">
        <x:v>reactivation_zombies</x:v>
      </x:c>
      <x:c r="H7" s="102" t="str">
        <x:v>Active — step 1 of 5</x:v>
      </x:c>
      <x:c r="I7" s="102" t="str">
        <x:v>Suppress + exit sequence</x:v>
      </x:c>
      <x:c r="J7" s="102" t="str">
        <x:v>No</x:v>
      </x:c>
    </x:row>
    <x:row r="8" ht="31.5" customHeight="1">
      <x:c r="A8" s="102" t="str">
        <x:v>meqymyxo@socam.me</x:v>
      </x:c>
      <x:c r="B8" s="102" t="str">
        <x:v>Permanent</x:v>
      </x:c>
      <x:c r="C8" s="102" t="str">
        <x:v>Address not found</x:v>
      </x:c>
      <x:c r="D8" s="103" t="n">
        <x:v>46232.79236111111</x:v>
      </x:c>
      <x:c r="E8" s="103" t="n">
        <x:v>46237.802083333336</x:v>
      </x:c>
      <x:c r="F8" s="104" t="n">
        <x:v>2</x:v>
      </x:c>
      <x:c r="G8" s="102" t="str">
        <x:v>reactivation_zombies</x:v>
      </x:c>
      <x:c r="H8" s="102" t="str">
        <x:v>Active — step 2 of 5</x:v>
      </x:c>
      <x:c r="I8" s="102" t="str">
        <x:v>Suppress + exit sequence</x:v>
      </x:c>
      <x:c r="J8" s="102" t="str">
        <x:v>No</x:v>
      </x:c>
    </x:row>
    <x:row r="9" ht="31.5" customHeight="1">
      <x:c r="A9" s="102" t="str">
        <x:v>ratchevyordan1@gmail.com</x:v>
      </x:c>
      <x:c r="B9" s="102" t="str">
        <x:v>Permanent</x:v>
      </x:c>
      <x:c r="C9" s="102" t="str">
        <x:v>Address not found</x:v>
      </x:c>
      <x:c r="D9" s="103" t="n">
        <x:v>46236.75</x:v>
      </x:c>
      <x:c r="E9" s="103" t="n">
        <x:v>46236.75</x:v>
      </x:c>
      <x:c r="F9" s="104" t="n">
        <x:v>1</x:v>
      </x:c>
      <x:c r="G9" s="102" t="str">
        <x:v>reactivation_zombies</x:v>
      </x:c>
      <x:c r="H9" s="102" t="str">
        <x:v>Active — step 1 of 5</x:v>
      </x:c>
      <x:c r="I9" s="102" t="str">
        <x:v>Suppress + exit sequence</x:v>
      </x:c>
      <x:c r="J9" s="102" t="str">
        <x:v>No</x:v>
      </x:c>
    </x:row>
    <x:row r="10" ht="31.5" customHeight="1">
      <x:c r="A10" s="102" t="str">
        <x:v>x3yl6f54yu@skygazerhub.com</x:v>
      </x:c>
      <x:c r="B10" s="102" t="str">
        <x:v>Permanent</x:v>
      </x:c>
      <x:c r="C10" s="102" t="str">
        <x:v>Message not delivered after retry window</x:v>
      </x:c>
      <x:c r="D10" s="103" t="n">
        <x:v>46233.881944444445</x:v>
      </x:c>
      <x:c r="E10" s="103" t="n">
        <x:v>46235.79722222222</x:v>
      </x:c>
      <x:c r="F10" s="104" t="n">
        <x:v>1</x:v>
      </x:c>
      <x:c r="G10" s="102" t="str">
        <x:v>reactivation_zombies</x:v>
      </x:c>
      <x:c r="H10" s="102" t="str">
        <x:v>Active — step 2 of 5</x:v>
      </x:c>
      <x:c r="I10" s="102" t="str">
        <x:v>Suppress + exit sequence</x:v>
      </x:c>
      <x:c r="J10" s="102" t="str">
        <x:v>No</x:v>
      </x:c>
    </x:row>
    <x:row r="11" ht="31.5" customHeight="1">
      <x:c r="A11" s="105" t="str">
        <x:v>carolvargas487@gmail.com</x:v>
      </x:c>
      <x:c r="B11" s="105" t="str">
        <x:v>Temporary</x:v>
      </x:c>
      <x:c r="C11" s="105" t="str">
        <x:v>Delivery incomplete — Gmail retrying for 47 hours</x:v>
      </x:c>
      <x:c r="D11" s="106" t="n">
        <x:v>46237.77569444444</x:v>
      </x:c>
      <x:c r="E11" s="106" t="n">
        <x:v>46237.77569444444</x:v>
      </x:c>
      <x:c r="F11" s="107" t="n">
        <x:v>0</x:v>
      </x:c>
      <x:c r="G11" s="105" t="str">
        <x:v>reactivation_zombies</x:v>
      </x:c>
      <x:c r="H11" s="105" t="str">
        <x:v>Active — step 1 of 5</x:v>
      </x:c>
      <x:c r="I11" s="105" t="str">
        <x:v>Monitor; do not suppress yet</x:v>
      </x:c>
      <x:c r="J11" s="105" t="str">
        <x:v>No</x:v>
      </x:c>
    </x:row>
  </x:sheetData>
  <x:mergeCells>
    <x:mergeCell ref="A1:J1"/>
    <x:mergeCell ref="A2:J2"/>
  </x:mergeCells>
  <x:conditionalFormatting sqref="B4:B11">
    <x:cfRule type="containsText" dxfId="0" priority="1" operator="containsText" text="Permanent"/>
    <x:cfRule type="containsText" dxfId="1" priority="2" operator="containsText" text="Temporary"/>
  </x:conditionalFormatting>
  <x:conditionalFormatting sqref="J4:J11">
    <x:cfRule type="containsText" dxfId="2" priority="3" operator="containsText" text="No"/>
  </x:conditionalFormatting>
  <x:pageMargins left="0.7" right="0.7" top="0.75" bottom="0.75" header="0.3" footer="0.3"/>
  <x:tableParts count="1">
    <x:tablePart xmlns:r="http://schemas.openxmlformats.org/officeDocument/2006/relationships" r:id="Rb419c2a3e79f44be"/>
  </x:tableParts>
</x:worksheet>
</file>